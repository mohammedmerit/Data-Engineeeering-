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D:\Kavi\Kavi master folder\2025\Performance Tracker Automation\Source\"/>
    </mc:Choice>
  </mc:AlternateContent>
  <xr:revisionPtr revIDLastSave="16" documentId="11_5ECBFAF9EA3390DF481EF89F087253DD4857308E" xr6:coauthVersionLast="47" xr6:coauthVersionMax="47" xr10:uidLastSave="{F5155F42-EA33-4DFC-9D84-B6FF72C9A8F3}"/>
  <bookViews>
    <workbookView xWindow="0" yWindow="0" windowWidth="23040" windowHeight="9075" xr2:uid="{00000000-000D-0000-FFFF-FFFF00000000}"/>
  </bookViews>
  <sheets>
    <sheet name="MI - Apr @ 108 " sheetId="2" r:id="rId1"/>
  </sheets>
  <externalReferences>
    <externalReference r:id="rId2"/>
  </externalReferences>
  <definedNames>
    <definedName name="_xlnm._FilterDatabase" localSheetId="0" hidden="1">'MI - Apr @ 108 '!$A$2:$AN$2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<sst xmlns="http://schemas.openxmlformats.org/spreadsheetml/2006/main" count="13" uniqueCount="13">
  <si>
    <t>Project Name</t>
  </si>
  <si>
    <t>Grand Total</t>
  </si>
  <si>
    <t>Dods Political Intelligence Platform (DPIP) Maintenance</t>
  </si>
  <si>
    <t>Argus Media_IT</t>
  </si>
  <si>
    <t>BiP Solutions - Automated LinkedIn</t>
  </si>
  <si>
    <t xml:space="preserve">Burlington Media Group </t>
  </si>
  <si>
    <t>Glenigan G2 Development</t>
  </si>
  <si>
    <t>Glenigan Salesforce Reports</t>
  </si>
  <si>
    <t>Glenigan Tech Solutions</t>
  </si>
  <si>
    <t>Montagu - LLI Tech Resources</t>
  </si>
  <si>
    <t>JATO Dashboard Development</t>
  </si>
  <si>
    <t>JATO - Monthly Payments Data Collection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</si>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</sst>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[$£-809]#,##0.00"/>
    <numFmt numFmtId="167" formatCode="[$£-809]#,##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name val="Calibri Light"/>
      <family val="2"/>
      <scheme val="major"/>
    </font>
    <font>
      <b/>
      <sz val="10.5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.5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0" applyNumberFormat="1" applyFont="1"/>
    <xf numFmtId="165" fontId="2" fillId="0" borderId="0" xfId="1" applyNumberFormat="1" applyFont="1"/>
    <xf numFmtId="166" fontId="2" fillId="0" borderId="0" xfId="0" applyNumberFormat="1" applyFont="1"/>
    <xf numFmtId="9" fontId="3" fillId="0" borderId="0" xfId="2" applyFont="1"/>
    <xf numFmtId="0" fontId="3" fillId="0" borderId="0" xfId="0" applyFont="1"/>
    <xf numFmtId="167" fontId="3" fillId="0" borderId="0" xfId="0" applyNumberFormat="1" applyFont="1"/>
    <xf numFmtId="167" fontId="2" fillId="0" borderId="0" xfId="0" applyNumberFormat="1" applyFont="1"/>
    <xf numFmtId="167" fontId="2" fillId="0" borderId="0" xfId="1" applyNumberFormat="1" applyFont="1"/>
    <xf numFmtId="167" fontId="4" fillId="0" borderId="0" xfId="1" applyNumberFormat="1" applyFont="1" applyFill="1" applyAlignment="1">
      <alignment vertical="top" wrapText="1"/>
    </xf>
    <xf numFmtId="167" fontId="3" fillId="0" borderId="0" xfId="1" applyNumberFormat="1" applyFont="1" applyAlignment="1">
      <alignment horizontal="right" vertical="top"/>
    </xf>
    <xf numFmtId="166" fontId="3" fillId="0" borderId="0" xfId="0" applyNumberFormat="1" applyFont="1"/>
    <xf numFmtId="167" fontId="3" fillId="0" borderId="1" xfId="0" applyNumberFormat="1" applyFont="1" applyBorder="1"/>
    <xf numFmtId="0" fontId="3" fillId="0" borderId="1" xfId="0" applyFont="1" applyBorder="1"/>
    <xf numFmtId="167" fontId="3" fillId="0" borderId="0" xfId="1" applyNumberFormat="1" applyFont="1"/>
    <xf numFmtId="167" fontId="3" fillId="0" borderId="0" xfId="1" applyNumberFormat="1" applyFont="1" applyBorder="1"/>
    <xf numFmtId="167" fontId="2" fillId="0" borderId="0" xfId="1" applyNumberFormat="1" applyFont="1" applyAlignment="1">
      <alignment vertical="center" wrapText="1"/>
    </xf>
    <xf numFmtId="9" fontId="3" fillId="0" borderId="0" xfId="2" applyFont="1" applyBorder="1"/>
    <xf numFmtId="167" fontId="3" fillId="0" borderId="0" xfId="2" applyNumberFormat="1" applyFont="1" applyBorder="1"/>
    <xf numFmtId="0" fontId="4" fillId="0" borderId="0" xfId="1" applyNumberFormat="1" applyFont="1" applyAlignment="1">
      <alignment horizontal="right" vertical="center" wrapText="1"/>
    </xf>
    <xf numFmtId="165" fontId="4" fillId="0" borderId="0" xfId="1" applyNumberFormat="1" applyFont="1" applyFill="1" applyAlignment="1">
      <alignment vertical="top" wrapText="1"/>
    </xf>
    <xf numFmtId="165" fontId="3" fillId="0" borderId="0" xfId="1" applyNumberFormat="1" applyFont="1"/>
    <xf numFmtId="164" fontId="2" fillId="0" borderId="0" xfId="1" applyFont="1"/>
    <xf numFmtId="9" fontId="4" fillId="0" borderId="0" xfId="2" applyFont="1" applyFill="1" applyAlignment="1">
      <alignment vertical="top" wrapText="1"/>
    </xf>
    <xf numFmtId="165" fontId="3" fillId="0" borderId="0" xfId="1" applyNumberFormat="1" applyFont="1" applyAlignment="1">
      <alignment horizontal="left"/>
    </xf>
    <xf numFmtId="1" fontId="2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 wrapText="1"/>
    </xf>
    <xf numFmtId="2" fontId="2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7" fontId="5" fillId="0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2" fillId="0" borderId="0" xfId="0" applyNumberFormat="1" applyFont="1"/>
    <xf numFmtId="2" fontId="2" fillId="0" borderId="0" xfId="1" applyNumberFormat="1" applyFont="1" applyFill="1"/>
    <xf numFmtId="0" fontId="4" fillId="0" borderId="0" xfId="1" applyNumberFormat="1" applyFont="1" applyFill="1" applyAlignment="1">
      <alignment horizontal="right" vertical="center" wrapText="1"/>
    </xf>
    <xf numFmtId="167" fontId="2" fillId="0" borderId="0" xfId="1" applyNumberFormat="1" applyFont="1" applyFill="1" applyAlignment="1">
      <alignment vertical="center" wrapText="1"/>
    </xf>
    <xf numFmtId="167" fontId="3" fillId="0" borderId="0" xfId="1" applyNumberFormat="1" applyFont="1" applyFill="1" applyBorder="1"/>
    <xf numFmtId="9" fontId="3" fillId="0" borderId="0" xfId="2" applyFont="1" applyFill="1" applyBorder="1"/>
    <xf numFmtId="167" fontId="3" fillId="0" borderId="0" xfId="1" applyNumberFormat="1" applyFont="1" applyFill="1"/>
    <xf numFmtId="9" fontId="3" fillId="0" borderId="0" xfId="2" applyFont="1" applyFill="1"/>
    <xf numFmtId="167" fontId="2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ndhumathi.manohara\MI%20Report\Apr%202025\MIS_Projecthead_04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4"/>
      <sheetName val="Monthly Summary"/>
      <sheetName val="Note"/>
      <sheetName val="MI - Apr @ 108"/>
      <sheetName val="MI - Apr @ 112.86"/>
      <sheetName val="Ops &amp; Tech - PP"/>
      <sheetName val="Ops &amp; Tech"/>
      <sheetName val="Support"/>
      <sheetName val="Linkdin"/>
      <sheetName val="Sheet1"/>
      <sheetName val="Recon"/>
      <sheetName val="Chennai - Ops"/>
      <sheetName val="Chennai - IT"/>
      <sheetName val="Mumbai"/>
      <sheetName val="Working"/>
      <sheetName val="TL March"/>
      <sheetName val="Consultant"/>
      <sheetName val="Rental Laptop List"/>
      <sheetName val="Dialer Report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112.86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2"/>
  <sheetViews>
    <sheetView tabSelected="1" workbookViewId="0">
      <pane xSplit="2" ySplit="2" topLeftCell="C3" activePane="bottomRight" state="frozen"/>
      <selection pane="bottomRight" activeCell="B4" sqref="B4"/>
      <selection pane="bottomLeft" activeCell="C2" sqref="C2"/>
      <selection pane="topRight" activeCell="C2" sqref="C2"/>
    </sheetView>
  </sheetViews>
  <sheetFormatPr defaultColWidth="12.5703125" defaultRowHeight="14.25"/>
  <cols>
    <col min="1" max="1" width="38.7109375" style="1" bestFit="1" customWidth="1"/>
    <col min="2" max="2" width="13.5703125" style="1" bestFit="1" customWidth="1"/>
    <col min="3" max="3" width="13.85546875" style="1" customWidth="1"/>
    <col min="4" max="4" width="13.7109375" style="1" bestFit="1" customWidth="1"/>
    <col min="5" max="5" width="14" style="1" customWidth="1"/>
    <col min="6" max="6" width="15.42578125" style="1" bestFit="1" customWidth="1"/>
    <col min="7" max="7" width="13.85546875" style="1" customWidth="1"/>
    <col min="8" max="8" width="14.28515625" style="1" bestFit="1" customWidth="1"/>
    <col min="9" max="9" width="14.140625" style="1" customWidth="1"/>
    <col min="10" max="42" width="14.28515625" style="1" bestFit="1" customWidth="1"/>
    <col min="43" max="16384" width="12.5703125" style="1"/>
  </cols>
  <sheetData>
    <row r="1" spans="1:42">
      <c r="A1" s="36">
        <v>108</v>
      </c>
      <c r="B1" s="36">
        <f>'[1]Ops &amp; Tech'!A1</f>
        <v>112.86</v>
      </c>
    </row>
    <row r="2" spans="1:42" s="33" customFormat="1" ht="78">
      <c r="A2" s="35" t="s">
        <v>0</v>
      </c>
      <c r="B2" s="35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  <c r="L2" s="34" t="s">
        <v>11</v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s="29" customFormat="1">
      <c r="A3" s="32"/>
      <c r="B3" s="31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7"/>
      <c r="AO3" s="37"/>
      <c r="AP3" s="37"/>
    </row>
    <row r="4" spans="1:42" s="27" customFormat="1">
      <c r="A4" s="28" t="s">
        <v>12</v>
      </c>
      <c r="B4" s="12"/>
      <c r="C4" s="11">
        <v>8000</v>
      </c>
      <c r="D4" s="11">
        <v>5000</v>
      </c>
      <c r="E4" s="11">
        <v>6000</v>
      </c>
      <c r="F4" s="11">
        <v>7000</v>
      </c>
      <c r="G4" s="11">
        <v>8000</v>
      </c>
      <c r="H4" s="11">
        <v>8000</v>
      </c>
      <c r="I4" s="11">
        <v>5000</v>
      </c>
      <c r="J4" s="11">
        <v>6000</v>
      </c>
      <c r="K4" s="11">
        <v>7000</v>
      </c>
      <c r="L4" s="11">
        <v>8000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s="4" customFormat="1">
      <c r="A5" s="26"/>
      <c r="B5" s="2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</row>
    <row r="6" spans="1:42" s="4" customFormat="1">
      <c r="A6" s="26"/>
      <c r="B6" s="2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</row>
    <row r="7" spans="1:42" s="4" customFormat="1">
      <c r="A7" s="26"/>
      <c r="B7" s="2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>
      <c r="A8" s="7"/>
      <c r="B8" s="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 s="24" customFormat="1">
      <c r="A9" s="26"/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</row>
    <row r="10" spans="1:42" s="4" customFormat="1">
      <c r="A10" s="26"/>
      <c r="B10" s="23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2" s="4" customFormat="1">
      <c r="A11" s="26"/>
      <c r="B11" s="23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</row>
    <row r="12" spans="1:42">
      <c r="A12" s="26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38"/>
      <c r="AO12" s="38"/>
      <c r="AP12" s="38"/>
    </row>
    <row r="13" spans="1:42">
      <c r="A13" s="26"/>
    </row>
    <row r="14" spans="1:42">
      <c r="A14" s="26"/>
      <c r="B14" s="12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>
      <c r="A15" s="26"/>
      <c r="B15" s="12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>
      <c r="A16" s="26"/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4">
      <c r="A17" s="26"/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4">
      <c r="A18" s="26"/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4">
      <c r="A19" s="26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4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spans="1:44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spans="1:44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spans="1:44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spans="1:4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spans="1:4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spans="1:44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</row>
    <row r="27" spans="1:44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</row>
    <row r="28" spans="1:44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</row>
    <row r="29" spans="1:44">
      <c r="A29" s="26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</row>
    <row r="30" spans="1:44">
      <c r="A30" s="26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spans="1:44">
      <c r="A31" s="26"/>
      <c r="B31" s="16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39"/>
      <c r="AO31" s="39"/>
      <c r="AP31" s="39"/>
    </row>
    <row r="32" spans="1:44">
      <c r="A32" s="26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spans="1:42">
      <c r="A33" s="2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41"/>
      <c r="AO33" s="41"/>
      <c r="AP33" s="41"/>
    </row>
    <row r="34" spans="1:42">
      <c r="A34" s="26"/>
      <c r="B34" s="16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39"/>
      <c r="AO34" s="39"/>
      <c r="AP34" s="39"/>
    </row>
    <row r="35" spans="1:42"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spans="1:42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spans="1:42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</row>
    <row r="38" spans="1:42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spans="1:42"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</row>
    <row r="40" spans="1:42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spans="1:42"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</row>
    <row r="42" spans="1:42">
      <c r="B42" s="16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39"/>
      <c r="AO42" s="39"/>
      <c r="AP42" s="39"/>
    </row>
    <row r="43" spans="1:42">
      <c r="A43" s="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40"/>
      <c r="AO43" s="40"/>
      <c r="AP43" s="40"/>
    </row>
    <row r="44" spans="1:42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42"/>
      <c r="AO44" s="42"/>
      <c r="AP44" s="42"/>
    </row>
    <row r="45" spans="1:42" ht="15" thickBot="1">
      <c r="A45" s="15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 spans="1:42" ht="15" thickTop="1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43"/>
      <c r="AO48" s="43"/>
      <c r="AP48" s="43"/>
    </row>
    <row r="49" spans="1:42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>
      <c r="A50" s="7"/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spans="1:42"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</row>
    <row r="54" spans="1:42">
      <c r="A54" s="3"/>
      <c r="B54" s="9"/>
      <c r="C54" s="5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spans="1:42"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</row>
    <row r="57" spans="1:42"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</row>
    <row r="58" spans="1:42"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</row>
    <row r="59" spans="1:42"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</row>
    <row r="60" spans="1:42"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</row>
    <row r="61" spans="1:42"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</row>
    <row r="62" spans="1:42"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</row>
    <row r="63" spans="1:42"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</row>
    <row r="64" spans="1:42"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</row>
    <row r="65" spans="1:42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44"/>
      <c r="AO65" s="44"/>
      <c r="AP65" s="44"/>
    </row>
    <row r="66" spans="1:4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43"/>
      <c r="AO69" s="43"/>
      <c r="AP69" s="43"/>
    </row>
    <row r="70" spans="1:42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</row>
    <row r="72" spans="1:42"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</row>
    <row r="73" spans="1:42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44"/>
      <c r="AO73" s="44"/>
      <c r="AP73" s="44"/>
    </row>
    <row r="74" spans="1:42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43"/>
      <c r="AO77" s="43"/>
      <c r="AP77" s="43"/>
    </row>
    <row r="78" spans="1:42">
      <c r="B78" s="4"/>
    </row>
    <row r="79" spans="1:42"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>
      <c r="B80" s="4"/>
    </row>
    <row r="81" spans="2:42"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2:42">
      <c r="B82" s="2"/>
    </row>
  </sheetData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Endhumathi Manoharan</dc:creator>
  <cp:keywords/>
  <dc:description/>
  <cp:lastModifiedBy>Naafiah Fathima</cp:lastModifiedBy>
  <cp:revision/>
  <dcterms:created xsi:type="dcterms:W3CDTF">2025-05-20T06:25:00Z</dcterms:created>
  <dcterms:modified xsi:type="dcterms:W3CDTF">2026-03-27T09:48:56Z</dcterms:modified>
  <cp:category/>
  <cp:contentStatus/>
</cp:coreProperties>
</file>