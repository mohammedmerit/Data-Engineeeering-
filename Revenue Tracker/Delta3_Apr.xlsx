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D:\Kavi\Kavi master folder\2025\Performance Tracker Automation\Source\"/>
    </mc:Choice>
  </mc:AlternateContent>
  <xr:revisionPtr revIDLastSave="0" documentId="8_{405CA97F-9164-4E24-810E-8C50230CCD8C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MI - Apr @ 108 " sheetId="1" r:id="rId1"/>
    <sheet name="May" sheetId="2" r:id="rId2"/>
    <sheet name="June" sheetId="3" r:id="rId3"/>
  </sheets>
  <externalReferences>
    <externalReference r:id="rId4"/>
  </externalReferences>
  <definedNames>
    <definedName name="_xlnm._FilterDatabase" localSheetId="0" hidden="1">'MI - Apr @ 108 '!$A$2:$B$2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<sst xmlns="http://schemas.openxmlformats.org/spreadsheetml/2006/main" count="74" uniqueCount="33">
  <si>
    <t>Project Name</t>
  </si>
  <si>
    <t>Grand Total</t>
  </si>
  <si>
    <t>Revenue</t>
  </si>
  <si>
    <t>Production Hours</t>
  </si>
  <si>
    <t>Quality Hours</t>
  </si>
  <si>
    <t>Total Hours</t>
  </si>
  <si>
    <t>Revenue %</t>
  </si>
  <si>
    <t>Direct Cost : Salary Operations</t>
  </si>
  <si>
    <t>Salary - Core employees</t>
  </si>
  <si>
    <t>Salary - Quality</t>
  </si>
  <si>
    <t>Salary - TL / Managers</t>
  </si>
  <si>
    <t>Salary - Consultants</t>
  </si>
  <si>
    <t>IT / Ops Support Cost - Billable project support</t>
  </si>
  <si>
    <t>Gratuity + Insurance</t>
  </si>
  <si>
    <t>Performance payments - Incentive &amp; Others</t>
  </si>
  <si>
    <t>Other Payout - Severance / Settlement</t>
  </si>
  <si>
    <t>Total salary allocation for project</t>
  </si>
  <si>
    <t>Total salary allocation %</t>
  </si>
  <si>
    <t>£295,000</t>
  </si>
  <si>
    <t>£148,000</t>
  </si>
  <si>
    <t>£0</t>
  </si>
  <si>
    <t>£25,000</t>
  </si>
  <si>
    <t>£2,900</t>
  </si>
  <si>
    <t>£600</t>
  </si>
  <si>
    <t>£1,000</t>
  </si>
  <si>
    <t>£217,500</t>
  </si>
  <si>
    <t>£345,000</t>
  </si>
  <si>
    <t>£170,000</t>
  </si>
  <si>
    <t>£30,000</t>
  </si>
  <si>
    <t>£3,400</t>
  </si>
  <si>
    <t>£700</t>
  </si>
  <si>
    <t>£1,400</t>
  </si>
  <si>
    <t>£245,500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</si>
</sst>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[$£-809]#,##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name val="Calibri Light"/>
      <family val="2"/>
      <scheme val="major"/>
    </font>
    <font>
      <b/>
      <sz val="10.5"/>
      <name val="Calibri Light"/>
      <family val="2"/>
      <scheme val="major"/>
    </font>
    <font>
      <b/>
      <sz val="10.5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65" fontId="2" fillId="0" borderId="0" xfId="1" applyNumberFormat="1" applyFont="1"/>
    <xf numFmtId="9" fontId="3" fillId="0" borderId="0" xfId="2" applyFont="1"/>
    <xf numFmtId="0" fontId="3" fillId="0" borderId="0" xfId="0" applyFont="1"/>
    <xf numFmtId="166" fontId="3" fillId="0" borderId="0" xfId="1" applyNumberFormat="1" applyFont="1" applyAlignment="1">
      <alignment horizontal="right" vertical="top"/>
    </xf>
    <xf numFmtId="166" fontId="3" fillId="0" borderId="0" xfId="1" applyNumberFormat="1" applyFont="1"/>
    <xf numFmtId="9" fontId="3" fillId="0" borderId="0" xfId="2" applyFont="1" applyBorder="1"/>
    <xf numFmtId="166" fontId="3" fillId="0" borderId="0" xfId="2" applyNumberFormat="1" applyFont="1" applyBorder="1"/>
    <xf numFmtId="165" fontId="3" fillId="0" borderId="0" xfId="1" applyNumberFormat="1" applyFont="1"/>
    <xf numFmtId="165" fontId="3" fillId="0" borderId="0" xfId="1" applyNumberFormat="1" applyFont="1" applyAlignment="1">
      <alignment horizontal="left"/>
    </xf>
    <xf numFmtId="1" fontId="2" fillId="0" borderId="0" xfId="0" applyNumberFormat="1" applyFont="1" applyAlignment="1">
      <alignment horizontal="right" vertical="top"/>
    </xf>
    <xf numFmtId="1" fontId="3" fillId="0" borderId="0" xfId="0" applyNumberFormat="1" applyFont="1" applyAlignment="1">
      <alignment horizontal="left" vertical="top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2" borderId="0" xfId="0" applyFont="1" applyFill="1"/>
    <xf numFmtId="3" fontId="0" fillId="0" borderId="0" xfId="0" applyNumberFormat="1"/>
    <xf numFmtId="9" fontId="0" fillId="0" borderId="0" xfId="0" applyNumberFormat="1"/>
    <xf numFmtId="0" fontId="5" fillId="0" borderId="0" xfId="0" applyFont="1"/>
    <xf numFmtId="3" fontId="5" fillId="0" borderId="0" xfId="0" applyNumberFormat="1" applyFont="1"/>
    <xf numFmtId="9" fontId="5" fillId="0" borderId="0" xfId="0" applyNumberFormat="1" applyFont="1"/>
    <xf numFmtId="2" fontId="5" fillId="0" borderId="0" xfId="0" applyNumberFormat="1" applyFont="1"/>
    <xf numFmtId="0" fontId="6" fillId="0" borderId="0" xfId="0" applyFont="1"/>
    <xf numFmtId="0" fontId="7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ndhumathi.manohara\MI%20Report\Apr%202025\MIS_Projecthead_0425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4"/>
      <sheetName val="Monthly Summary"/>
      <sheetName val="Note"/>
      <sheetName val="MI - Apr @ 108"/>
      <sheetName val="MI - Apr @ 112.86"/>
      <sheetName val="Ops &amp; Tech - PP"/>
      <sheetName val="Ops &amp; Tech"/>
      <sheetName val="Support"/>
      <sheetName val="Linkdin"/>
      <sheetName val="Sheet1"/>
      <sheetName val="Recon"/>
      <sheetName val="Chennai - Ops"/>
      <sheetName val="Chennai - IT"/>
      <sheetName val="Mumbai"/>
      <sheetName val="Working"/>
      <sheetName val="TL March"/>
      <sheetName val="Consultant"/>
      <sheetName val="Rental Laptop List"/>
      <sheetName val="Dialer Report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>
            <v>112.86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pane xSplit="2" ySplit="2" topLeftCell="C3" activePane="bottomRight" state="frozen"/>
      <selection pane="bottomRight" activeCell="B22" sqref="A2:B22"/>
      <selection pane="bottomLeft" activeCell="C2" sqref="C2"/>
      <selection pane="topRight" activeCell="C2" sqref="C2"/>
    </sheetView>
  </sheetViews>
  <sheetFormatPr defaultColWidth="12.5703125" defaultRowHeight="14.45"/>
  <cols>
    <col min="1" max="1" width="38.7109375" style="1" bestFit="1" customWidth="1"/>
    <col min="2" max="2" width="13.5703125" style="1" bestFit="1" customWidth="1"/>
    <col min="3" max="16384" width="12.5703125" style="1"/>
  </cols>
  <sheetData>
    <row r="1" spans="1:2">
      <c r="A1" s="18">
        <v>108</v>
      </c>
      <c r="B1" s="18">
        <f>'[1]Ops &amp; Tech'!A1</f>
        <v>112.86</v>
      </c>
    </row>
    <row r="2" spans="1:2" s="16" customFormat="1">
      <c r="A2" s="17" t="s">
        <v>0</v>
      </c>
      <c r="B2" s="17" t="s">
        <v>1</v>
      </c>
    </row>
    <row r="3" spans="1:2" s="13" customFormat="1">
      <c r="A3" s="15"/>
      <c r="B3" s="14"/>
    </row>
    <row r="4" spans="1:2" s="11" customFormat="1">
      <c r="A4" s="12" t="s">
        <v>2</v>
      </c>
      <c r="B4" s="5">
        <v>320000</v>
      </c>
    </row>
    <row r="5" spans="1:2" s="2" customFormat="1">
      <c r="A5" s="10" t="s">
        <v>3</v>
      </c>
      <c r="B5" s="9">
        <v>23179.230000000003</v>
      </c>
    </row>
    <row r="6" spans="1:2" s="2" customFormat="1">
      <c r="A6" s="10" t="s">
        <v>4</v>
      </c>
      <c r="B6" s="9">
        <v>1404.39</v>
      </c>
    </row>
    <row r="7" spans="1:2" s="2" customFormat="1">
      <c r="A7" s="10" t="s">
        <v>5</v>
      </c>
      <c r="B7" s="9">
        <v>25726.430000000004</v>
      </c>
    </row>
    <row r="8" spans="1:2">
      <c r="A8" s="4" t="s">
        <v>6</v>
      </c>
      <c r="B8" s="3">
        <v>0.41551917231843205</v>
      </c>
    </row>
    <row r="10" spans="1:2">
      <c r="A10" s="4" t="s">
        <v>7</v>
      </c>
    </row>
    <row r="11" spans="1:2">
      <c r="A11" s="19" t="s">
        <v>8</v>
      </c>
      <c r="B11" s="5">
        <v>160000</v>
      </c>
    </row>
    <row r="12" spans="1:2">
      <c r="A12" s="1" t="s">
        <v>9</v>
      </c>
      <c r="B12" s="5">
        <v>0</v>
      </c>
    </row>
    <row r="13" spans="1:2">
      <c r="A13" s="19" t="s">
        <v>10</v>
      </c>
      <c r="B13" s="5">
        <v>0</v>
      </c>
    </row>
    <row r="14" spans="1:2">
      <c r="A14" s="19" t="s">
        <v>11</v>
      </c>
      <c r="B14" s="5">
        <v>28000</v>
      </c>
    </row>
    <row r="15" spans="1:2">
      <c r="A15" s="1" t="s">
        <v>12</v>
      </c>
      <c r="B15" s="5">
        <v>3148.3291562238933</v>
      </c>
    </row>
    <row r="16" spans="1:2">
      <c r="A16" s="1" t="s">
        <v>13</v>
      </c>
      <c r="B16" s="5">
        <v>655.58376151803748</v>
      </c>
    </row>
    <row r="17" spans="1:2">
      <c r="A17" s="19" t="s">
        <v>14</v>
      </c>
      <c r="B17" s="5">
        <v>1255.3802779122511</v>
      </c>
    </row>
    <row r="18" spans="1:2">
      <c r="A18" s="1" t="s">
        <v>15</v>
      </c>
      <c r="B18" s="5">
        <v>0</v>
      </c>
    </row>
    <row r="19" spans="1:2">
      <c r="B19" s="6"/>
    </row>
    <row r="20" spans="1:2">
      <c r="B20" s="6"/>
    </row>
    <row r="21" spans="1:2">
      <c r="A21" s="4" t="s">
        <v>16</v>
      </c>
      <c r="B21" s="8">
        <v>234311.36820849151</v>
      </c>
    </row>
    <row r="22" spans="1:2">
      <c r="A22" s="4" t="s">
        <v>17</v>
      </c>
      <c r="B22" s="7">
        <v>0.73222302565153596</v>
      </c>
    </row>
    <row r="23" spans="1:2">
      <c r="B23" s="6"/>
    </row>
  </sheetData>
  <pageMargins left="0.7" right="0.7" top="0.75" bottom="0.75" header="0.3" footer="0.3"/>
  <pageSetup paperSize="9" orientation="portrait" verticalDpi="598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511B-A816-470E-B7A5-9B69FE65D98C}">
  <dimension ref="A1:J22"/>
  <sheetViews>
    <sheetView workbookViewId="0">
      <selection activeCell="G22" sqref="G22"/>
    </sheetView>
  </sheetViews>
  <sheetFormatPr defaultRowHeight="15"/>
  <cols>
    <col min="1" max="1" width="43.7109375" bestFit="1" customWidth="1"/>
    <col min="2" max="2" width="9.7109375" bestFit="1" customWidth="1"/>
  </cols>
  <sheetData>
    <row r="1" spans="1:10" ht="30.75">
      <c r="A1" s="17" t="s">
        <v>0</v>
      </c>
      <c r="B1" s="17" t="s">
        <v>1</v>
      </c>
    </row>
    <row r="2" spans="1:10">
      <c r="A2" s="15"/>
      <c r="B2" s="14"/>
    </row>
    <row r="3" spans="1:10">
      <c r="A3" s="12" t="s">
        <v>2</v>
      </c>
      <c r="B3" s="22" t="s">
        <v>18</v>
      </c>
    </row>
    <row r="4" spans="1:10">
      <c r="A4" s="10" t="s">
        <v>3</v>
      </c>
      <c r="B4" s="23">
        <v>21850</v>
      </c>
    </row>
    <row r="5" spans="1:10">
      <c r="A5" s="10" t="s">
        <v>4</v>
      </c>
      <c r="B5" s="23">
        <v>1250</v>
      </c>
    </row>
    <row r="6" spans="1:10">
      <c r="A6" s="10" t="s">
        <v>5</v>
      </c>
      <c r="B6" s="23">
        <v>24300</v>
      </c>
    </row>
    <row r="7" spans="1:10">
      <c r="A7" s="4" t="s">
        <v>6</v>
      </c>
      <c r="B7" s="24">
        <v>0.4</v>
      </c>
    </row>
    <row r="8" spans="1:10">
      <c r="A8" s="1"/>
      <c r="B8" s="1"/>
    </row>
    <row r="9" spans="1:10">
      <c r="A9" s="4" t="s">
        <v>7</v>
      </c>
      <c r="B9" s="1"/>
    </row>
    <row r="10" spans="1:10">
      <c r="A10" s="19" t="s">
        <v>8</v>
      </c>
      <c r="B10" s="25" t="s">
        <v>19</v>
      </c>
    </row>
    <row r="11" spans="1:10">
      <c r="A11" s="1" t="s">
        <v>9</v>
      </c>
      <c r="B11" s="25" t="s">
        <v>20</v>
      </c>
    </row>
    <row r="12" spans="1:10">
      <c r="A12" s="19" t="s">
        <v>10</v>
      </c>
      <c r="B12" s="25" t="s">
        <v>20</v>
      </c>
      <c r="I12" s="22"/>
      <c r="J12" s="22"/>
    </row>
    <row r="13" spans="1:10">
      <c r="A13" s="19" t="s">
        <v>11</v>
      </c>
      <c r="B13" s="25" t="s">
        <v>21</v>
      </c>
      <c r="H13" s="20"/>
    </row>
    <row r="14" spans="1:10">
      <c r="A14" s="1" t="s">
        <v>12</v>
      </c>
      <c r="B14" s="25" t="s">
        <v>22</v>
      </c>
      <c r="H14" s="20"/>
    </row>
    <row r="15" spans="1:10">
      <c r="A15" s="1" t="s">
        <v>13</v>
      </c>
      <c r="B15" s="25" t="s">
        <v>23</v>
      </c>
      <c r="H15" s="20"/>
    </row>
    <row r="16" spans="1:10">
      <c r="A16" s="19" t="s">
        <v>14</v>
      </c>
      <c r="B16" s="25" t="s">
        <v>24</v>
      </c>
      <c r="H16" s="21"/>
    </row>
    <row r="17" spans="1:9">
      <c r="A17" s="1" t="s">
        <v>15</v>
      </c>
      <c r="B17" s="25" t="s">
        <v>20</v>
      </c>
    </row>
    <row r="18" spans="1:9">
      <c r="A18" s="1"/>
      <c r="B18" s="6"/>
    </row>
    <row r="19" spans="1:9">
      <c r="A19" s="1"/>
      <c r="B19" s="6"/>
    </row>
    <row r="20" spans="1:9">
      <c r="A20" s="4" t="s">
        <v>16</v>
      </c>
      <c r="B20" s="8" t="s">
        <v>25</v>
      </c>
    </row>
    <row r="21" spans="1:9">
      <c r="A21" s="4" t="s">
        <v>17</v>
      </c>
      <c r="B21" s="7">
        <v>0.74</v>
      </c>
      <c r="I21" s="26"/>
    </row>
    <row r="22" spans="1:9">
      <c r="I22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4415-C1D2-48F4-B9EC-005121A0DF72}">
  <dimension ref="A1:K21"/>
  <sheetViews>
    <sheetView tabSelected="1" workbookViewId="0">
      <selection activeCell="K20" sqref="K4:K20"/>
    </sheetView>
  </sheetViews>
  <sheetFormatPr defaultRowHeight="15"/>
  <cols>
    <col min="1" max="1" width="43.7109375" bestFit="1" customWidth="1"/>
    <col min="2" max="2" width="9.7109375" bestFit="1" customWidth="1"/>
  </cols>
  <sheetData>
    <row r="1" spans="1:11" ht="30.75">
      <c r="A1" s="17" t="s">
        <v>0</v>
      </c>
      <c r="B1" s="17" t="s">
        <v>1</v>
      </c>
    </row>
    <row r="2" spans="1:11">
      <c r="A2" s="15"/>
      <c r="B2" s="14"/>
    </row>
    <row r="3" spans="1:11">
      <c r="A3" s="12" t="s">
        <v>2</v>
      </c>
      <c r="B3" s="22" t="s">
        <v>26</v>
      </c>
    </row>
    <row r="4" spans="1:11">
      <c r="A4" s="10" t="s">
        <v>3</v>
      </c>
      <c r="B4" s="23">
        <v>24500</v>
      </c>
      <c r="J4" s="22"/>
      <c r="K4" s="22"/>
    </row>
    <row r="5" spans="1:11">
      <c r="A5" s="10" t="s">
        <v>4</v>
      </c>
      <c r="B5" s="23">
        <v>1500</v>
      </c>
    </row>
    <row r="6" spans="1:11">
      <c r="A6" s="10" t="s">
        <v>5</v>
      </c>
      <c r="B6" s="23">
        <v>27000</v>
      </c>
      <c r="K6" s="20"/>
    </row>
    <row r="7" spans="1:11">
      <c r="A7" s="4" t="s">
        <v>6</v>
      </c>
      <c r="B7" s="24">
        <v>0.44</v>
      </c>
      <c r="K7" s="20"/>
    </row>
    <row r="8" spans="1:11">
      <c r="A8" s="1"/>
      <c r="B8" s="1"/>
      <c r="K8" s="20"/>
    </row>
    <row r="9" spans="1:11">
      <c r="A9" s="4" t="s">
        <v>7</v>
      </c>
      <c r="B9" s="1"/>
      <c r="K9" s="21"/>
    </row>
    <row r="10" spans="1:11" ht="18">
      <c r="A10" s="19" t="s">
        <v>8</v>
      </c>
      <c r="B10" s="22" t="s">
        <v>27</v>
      </c>
      <c r="J10" s="27"/>
    </row>
    <row r="11" spans="1:11">
      <c r="A11" s="1" t="s">
        <v>9</v>
      </c>
      <c r="B11" s="22" t="s">
        <v>20</v>
      </c>
      <c r="J11" s="22"/>
      <c r="K11" s="22"/>
    </row>
    <row r="12" spans="1:11">
      <c r="A12" s="19" t="s">
        <v>10</v>
      </c>
      <c r="B12" s="22" t="s">
        <v>20</v>
      </c>
    </row>
    <row r="13" spans="1:11">
      <c r="A13" s="19" t="s">
        <v>11</v>
      </c>
      <c r="B13" s="22" t="s">
        <v>28</v>
      </c>
    </row>
    <row r="14" spans="1:11">
      <c r="A14" s="1" t="s">
        <v>12</v>
      </c>
      <c r="B14" s="22" t="s">
        <v>29</v>
      </c>
    </row>
    <row r="15" spans="1:11">
      <c r="A15" s="1" t="s">
        <v>13</v>
      </c>
      <c r="B15" s="22" t="s">
        <v>30</v>
      </c>
    </row>
    <row r="16" spans="1:11">
      <c r="A16" s="19" t="s">
        <v>14</v>
      </c>
      <c r="B16" s="22" t="s">
        <v>31</v>
      </c>
    </row>
    <row r="17" spans="1:10">
      <c r="A17" s="1" t="s">
        <v>15</v>
      </c>
      <c r="B17" s="22" t="s">
        <v>20</v>
      </c>
    </row>
    <row r="18" spans="1:10">
      <c r="A18" s="1"/>
      <c r="B18" s="6"/>
    </row>
    <row r="19" spans="1:10">
      <c r="A19" s="1"/>
      <c r="B19" s="6"/>
    </row>
    <row r="20" spans="1:10">
      <c r="A20" s="4" t="s">
        <v>16</v>
      </c>
      <c r="B20" s="8" t="s">
        <v>32</v>
      </c>
      <c r="J20" s="26"/>
    </row>
    <row r="21" spans="1:10">
      <c r="A21" s="4" t="s">
        <v>17</v>
      </c>
      <c r="B21" s="7">
        <v>0.71</v>
      </c>
      <c r="J21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Endhumathi Manoharan</dc:creator>
  <cp:keywords/>
  <dc:description/>
  <cp:lastModifiedBy/>
  <cp:revision/>
  <dcterms:created xsi:type="dcterms:W3CDTF">2025-05-20T06:25:00Z</dcterms:created>
  <dcterms:modified xsi:type="dcterms:W3CDTF">2026-03-26T05:51:44Z</dcterms:modified>
  <cp:category/>
  <cp:contentStatus/>
</cp:coreProperties>
</file>