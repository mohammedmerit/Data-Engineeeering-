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2"/>
  <workbookPr/>
  <mc:AlternateContent xmlns:mc="http://schemas.openxmlformats.org/markup-compatibility/2006">
    <mc:Choice Requires="x15">
      <x15ac:absPath xmlns:x15ac="http://schemas.microsoft.com/office/spreadsheetml/2010/11/ac" url="D:\Kavi\Kavi master folder\2025\Performance Tracker Automation\Source\"/>
    </mc:Choice>
  </mc:AlternateContent>
  <xr:revisionPtr revIDLastSave="13" documentId="11_08B47AA46245EB8D428CBF87FA7F8953A5BF50E3" xr6:coauthVersionLast="47" xr6:coauthVersionMax="47" xr10:uidLastSave="{FE2F1D78-3F4C-4659-8C3A-975EB583B4A5}"/>
  <bookViews>
    <workbookView xWindow="0" yWindow="0" windowWidth="23040" windowHeight="9075" xr2:uid="{00000000-000D-0000-FFFF-FFFF00000000}"/>
  </bookViews>
  <sheets>
    <sheet name="MI - Apr @ 108 " sheetId="1" r:id="rId1"/>
  </sheets>
  <externalReferences>
    <externalReference r:id="rId2"/>
  </externalReferences>
  <definedNames>
    <definedName name="_xlnm._FilterDatabase" localSheetId="0" hidden="1">'MI - Apr @ 108 '!$A$2:$AN$2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/>
</calcChain>
</file>

<file path=xl/sharedStrings.xml><?xml version="1.0" encoding="utf-8"?>
<sst xmlns="http://schemas.openxmlformats.org/spreadsheetml/2006/main" count="13" uniqueCount="13">
  <si>
    <t>Project Name</t>
  </si>
  <si>
    <t>Grand Total</t>
  </si>
  <si>
    <t>Dods Political Intelligence Platform (DPIP) Maintenance</t>
  </si>
  <si>
    <t>Argus Media_IT</t>
  </si>
  <si>
    <t>BiP Solutions - Automated LinkedIn</t>
  </si>
  <si>
    <t xml:space="preserve">Burlington Media Group </t>
  </si>
  <si>
    <t>Glenigan G2 Development</t>
  </si>
  <si>
    <t>Glenigan Salesforce Reports</t>
  </si>
  <si>
    <t>Glenigan Tech Solutions</t>
  </si>
  <si>
    <t>Montagu - LLI Tech Resources</t>
  </si>
  <si>
    <t>JATO Dashboard Development</t>
  </si>
  <si>
    <t>JATO - Monthly Payments Data Collection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</si>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</sst>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.00_ ;_ * \-#,##0.00_ ;_ * &quot;-&quot;??_ ;_ @_ "/>
    <numFmt numFmtId="165" formatCode="_ * #,##0_ ;_ * \-#,##0_ ;_ * &quot;-&quot;??_ ;_ @_ "/>
    <numFmt numFmtId="166" formatCode="[$£-809]#,##0.00"/>
    <numFmt numFmtId="167" formatCode="[$£-809]#,##0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.5"/>
      <name val="Calibri Light"/>
      <family val="2"/>
      <scheme val="major"/>
    </font>
    <font>
      <b/>
      <sz val="10.5"/>
      <name val="Calibri Light"/>
      <family val="2"/>
      <scheme val="major"/>
    </font>
    <font>
      <sz val="10.5"/>
      <color theme="1"/>
      <name val="Calibri Light"/>
      <family val="2"/>
      <scheme val="major"/>
    </font>
    <font>
      <b/>
      <sz val="10.5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4">
    <xf numFmtId="0" fontId="0" fillId="0" borderId="0" xfId="0"/>
    <xf numFmtId="0" fontId="2" fillId="0" borderId="0" xfId="0" applyFont="1"/>
    <xf numFmtId="9" fontId="2" fillId="0" borderId="0" xfId="2" applyFont="1"/>
    <xf numFmtId="165" fontId="2" fillId="0" borderId="0" xfId="0" applyNumberFormat="1" applyFont="1"/>
    <xf numFmtId="165" fontId="2" fillId="0" borderId="0" xfId="1" applyNumberFormat="1" applyFont="1"/>
    <xf numFmtId="166" fontId="2" fillId="0" borderId="0" xfId="0" applyNumberFormat="1" applyFont="1"/>
    <xf numFmtId="9" fontId="3" fillId="0" borderId="0" xfId="2" applyFont="1"/>
    <xf numFmtId="0" fontId="3" fillId="0" borderId="0" xfId="0" applyFont="1"/>
    <xf numFmtId="167" fontId="3" fillId="0" borderId="0" xfId="0" applyNumberFormat="1" applyFont="1"/>
    <xf numFmtId="167" fontId="2" fillId="0" borderId="0" xfId="0" applyNumberFormat="1" applyFont="1"/>
    <xf numFmtId="167" fontId="2" fillId="0" borderId="0" xfId="1" applyNumberFormat="1" applyFont="1"/>
    <xf numFmtId="167" fontId="4" fillId="0" borderId="0" xfId="1" applyNumberFormat="1" applyFont="1" applyFill="1" applyAlignment="1">
      <alignment vertical="top" wrapText="1"/>
    </xf>
    <xf numFmtId="167" fontId="3" fillId="0" borderId="0" xfId="1" applyNumberFormat="1" applyFont="1" applyAlignment="1">
      <alignment horizontal="right" vertical="top"/>
    </xf>
    <xf numFmtId="166" fontId="3" fillId="0" borderId="0" xfId="0" applyNumberFormat="1" applyFont="1"/>
    <xf numFmtId="167" fontId="3" fillId="0" borderId="1" xfId="0" applyNumberFormat="1" applyFont="1" applyBorder="1"/>
    <xf numFmtId="0" fontId="3" fillId="0" borderId="1" xfId="0" applyFont="1" applyBorder="1"/>
    <xf numFmtId="167" fontId="3" fillId="0" borderId="0" xfId="1" applyNumberFormat="1" applyFont="1"/>
    <xf numFmtId="167" fontId="3" fillId="0" borderId="0" xfId="1" applyNumberFormat="1" applyFont="1" applyBorder="1"/>
    <xf numFmtId="167" fontId="2" fillId="0" borderId="0" xfId="1" applyNumberFormat="1" applyFont="1" applyAlignment="1">
      <alignment vertical="center" wrapText="1"/>
    </xf>
    <xf numFmtId="9" fontId="3" fillId="0" borderId="0" xfId="2" applyFont="1" applyBorder="1"/>
    <xf numFmtId="167" fontId="3" fillId="0" borderId="0" xfId="2" applyNumberFormat="1" applyFont="1" applyBorder="1"/>
    <xf numFmtId="0" fontId="4" fillId="0" borderId="0" xfId="1" applyNumberFormat="1" applyFont="1" applyAlignment="1">
      <alignment horizontal="right" vertical="center" wrapText="1"/>
    </xf>
    <xf numFmtId="165" fontId="4" fillId="0" borderId="0" xfId="1" applyNumberFormat="1" applyFont="1" applyFill="1" applyAlignment="1">
      <alignment vertical="top" wrapText="1"/>
    </xf>
    <xf numFmtId="165" fontId="3" fillId="0" borderId="0" xfId="1" applyNumberFormat="1" applyFont="1"/>
    <xf numFmtId="164" fontId="2" fillId="0" borderId="0" xfId="1" applyFont="1"/>
    <xf numFmtId="9" fontId="4" fillId="0" borderId="0" xfId="2" applyFont="1" applyFill="1" applyAlignment="1">
      <alignment vertical="top" wrapText="1"/>
    </xf>
    <xf numFmtId="165" fontId="3" fillId="0" borderId="0" xfId="1" applyNumberFormat="1" applyFont="1" applyAlignment="1">
      <alignment horizontal="left"/>
    </xf>
    <xf numFmtId="1" fontId="2" fillId="0" borderId="0" xfId="0" applyNumberFormat="1" applyFont="1" applyAlignment="1">
      <alignment horizontal="right" vertical="top"/>
    </xf>
    <xf numFmtId="0" fontId="2" fillId="0" borderId="0" xfId="0" applyFont="1" applyAlignment="1">
      <alignment vertical="center" wrapText="1"/>
    </xf>
    <xf numFmtId="2" fontId="2" fillId="0" borderId="0" xfId="1" applyNumberFormat="1" applyFont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167" fontId="5" fillId="0" borderId="0" xfId="1" applyNumberFormat="1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64" fontId="2" fillId="0" borderId="0" xfId="0" applyNumberFormat="1" applyFont="1"/>
    <xf numFmtId="2" fontId="2" fillId="0" borderId="0" xfId="1" applyNumberFormat="1" applyFont="1" applyFill="1"/>
    <xf numFmtId="0" fontId="4" fillId="0" borderId="0" xfId="1" applyNumberFormat="1" applyFont="1" applyFill="1" applyAlignment="1">
      <alignment horizontal="right" vertical="center" wrapText="1"/>
    </xf>
    <xf numFmtId="167" fontId="2" fillId="0" borderId="0" xfId="1" applyNumberFormat="1" applyFont="1" applyFill="1" applyAlignment="1">
      <alignment vertical="center" wrapText="1"/>
    </xf>
    <xf numFmtId="167" fontId="3" fillId="0" borderId="0" xfId="1" applyNumberFormat="1" applyFont="1" applyFill="1" applyBorder="1"/>
    <xf numFmtId="9" fontId="3" fillId="0" borderId="0" xfId="2" applyFont="1" applyFill="1" applyBorder="1"/>
    <xf numFmtId="167" fontId="3" fillId="0" borderId="0" xfId="1" applyNumberFormat="1" applyFont="1" applyFill="1"/>
    <xf numFmtId="9" fontId="3" fillId="0" borderId="0" xfId="2" applyFont="1" applyFill="1"/>
    <xf numFmtId="167" fontId="2" fillId="0" borderId="0" xfId="1" applyNumberFormat="1" applyFont="1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ndhumathi.manohara\MI%20Report\Apr%202025\MIS_Projecthead_0425%20V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heet4"/>
      <sheetName val="Monthly Summary"/>
      <sheetName val="Note"/>
      <sheetName val="MI - Apr @ 108"/>
      <sheetName val="MI - Apr @ 112.86"/>
      <sheetName val="Ops &amp; Tech - PP"/>
      <sheetName val="Ops &amp; Tech"/>
      <sheetName val="Support"/>
      <sheetName val="Linkdin"/>
      <sheetName val="Sheet1"/>
      <sheetName val="Recon"/>
      <sheetName val="Chennai - Ops"/>
      <sheetName val="Chennai - IT"/>
      <sheetName val="Mumbai"/>
      <sheetName val="Working"/>
      <sheetName val="TL March"/>
      <sheetName val="Consultant"/>
      <sheetName val="Rental Laptop List"/>
      <sheetName val="Dialer Report"/>
      <sheetName val="Sheet3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>
            <v>112.86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82"/>
  <sheetViews>
    <sheetView tabSelected="1" workbookViewId="0">
      <pane xSplit="2" ySplit="2" topLeftCell="F3" activePane="bottomRight" state="frozen"/>
      <selection pane="bottomRight" activeCell="J17" sqref="J17"/>
      <selection pane="bottomLeft" activeCell="C2" sqref="C2"/>
      <selection pane="topRight" activeCell="C2" sqref="C2"/>
    </sheetView>
  </sheetViews>
  <sheetFormatPr defaultColWidth="12.5703125" defaultRowHeight="14.25"/>
  <cols>
    <col min="1" max="1" width="38.7109375" style="1" bestFit="1" customWidth="1"/>
    <col min="2" max="2" width="13.5703125" style="1" bestFit="1" customWidth="1"/>
    <col min="3" max="3" width="13.85546875" style="1" customWidth="1"/>
    <col min="4" max="4" width="13.7109375" style="1" bestFit="1" customWidth="1"/>
    <col min="5" max="5" width="14" style="1" customWidth="1"/>
    <col min="6" max="6" width="15.42578125" style="1" bestFit="1" customWidth="1"/>
    <col min="7" max="7" width="13.85546875" style="1" customWidth="1"/>
    <col min="8" max="8" width="14.28515625" style="1" bestFit="1" customWidth="1"/>
    <col min="9" max="9" width="14.140625" style="1" customWidth="1"/>
    <col min="10" max="42" width="14.28515625" style="1" bestFit="1" customWidth="1"/>
    <col min="43" max="16384" width="12.5703125" style="1"/>
  </cols>
  <sheetData>
    <row r="1" spans="1:42">
      <c r="A1" s="35">
        <v>108</v>
      </c>
      <c r="B1" s="35">
        <f>'[1]Ops &amp; Tech'!A1</f>
        <v>112.86</v>
      </c>
    </row>
    <row r="2" spans="1:42" s="32" customFormat="1" ht="78">
      <c r="A2" s="34" t="s">
        <v>0</v>
      </c>
      <c r="B2" s="34" t="s">
        <v>1</v>
      </c>
      <c r="C2" s="33" t="s">
        <v>2</v>
      </c>
      <c r="D2" s="33" t="s">
        <v>3</v>
      </c>
      <c r="E2" s="33" t="s">
        <v>4</v>
      </c>
      <c r="F2" s="33" t="s">
        <v>5</v>
      </c>
      <c r="G2" s="33" t="s">
        <v>6</v>
      </c>
      <c r="H2" s="33" t="s">
        <v>7</v>
      </c>
      <c r="I2" s="33" t="s">
        <v>8</v>
      </c>
      <c r="J2" s="33" t="s">
        <v>9</v>
      </c>
      <c r="K2" s="33" t="s">
        <v>10</v>
      </c>
      <c r="L2" s="33" t="s">
        <v>11</v>
      </c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</row>
    <row r="3" spans="1:42" s="28" customFormat="1">
      <c r="A3" s="31"/>
      <c r="B3" s="30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36"/>
      <c r="AO3" s="36"/>
      <c r="AP3" s="36"/>
    </row>
    <row r="4" spans="1:42" s="27" customFormat="1">
      <c r="A4" s="7" t="s">
        <v>12</v>
      </c>
      <c r="B4" s="12"/>
      <c r="C4" s="11">
        <v>8000</v>
      </c>
      <c r="D4" s="11">
        <v>7000</v>
      </c>
      <c r="E4" s="11">
        <v>8000</v>
      </c>
      <c r="F4" s="11">
        <v>6000</v>
      </c>
      <c r="G4" s="11">
        <v>7000</v>
      </c>
      <c r="H4" s="11">
        <v>9000</v>
      </c>
      <c r="I4" s="11">
        <v>8000</v>
      </c>
      <c r="J4" s="11">
        <v>8000</v>
      </c>
      <c r="K4" s="11">
        <v>9000</v>
      </c>
      <c r="L4" s="11">
        <v>9000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</row>
    <row r="5" spans="1:42" s="4" customFormat="1">
      <c r="A5" s="7"/>
      <c r="B5" s="23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</row>
    <row r="6" spans="1:42" s="4" customFormat="1">
      <c r="A6" s="7"/>
      <c r="B6" s="7"/>
      <c r="C6" s="7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</row>
    <row r="7" spans="1:42" s="4" customFormat="1">
      <c r="A7" s="26"/>
      <c r="B7" s="7"/>
      <c r="C7" s="7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</row>
    <row r="8" spans="1:42">
      <c r="B8" s="7"/>
      <c r="C8" s="7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</row>
    <row r="9" spans="1:42" s="24" customFormat="1">
      <c r="A9" s="1"/>
      <c r="B9" s="7"/>
      <c r="C9" s="7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</row>
    <row r="10" spans="1:42" s="4" customFormat="1">
      <c r="A10" s="1"/>
      <c r="B10" s="7"/>
      <c r="C10" s="7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</row>
    <row r="11" spans="1:42" s="4" customFormat="1">
      <c r="A11" s="1"/>
      <c r="B11" s="7"/>
      <c r="C11" s="7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</row>
    <row r="12" spans="1:42">
      <c r="B12" s="7"/>
      <c r="C12" s="7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37"/>
      <c r="AO12" s="37"/>
      <c r="AP12" s="37"/>
    </row>
    <row r="13" spans="1:42">
      <c r="B13" s="7"/>
      <c r="C13" s="7"/>
    </row>
    <row r="14" spans="1:42">
      <c r="B14" s="7"/>
      <c r="C14" s="7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</row>
    <row r="15" spans="1:42">
      <c r="B15" s="7"/>
      <c r="C15" s="7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</row>
    <row r="16" spans="1:42">
      <c r="B16" s="7"/>
      <c r="C16" s="7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</row>
    <row r="17" spans="2:56">
      <c r="B17" s="7"/>
      <c r="C17" s="7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</row>
    <row r="18" spans="2:56">
      <c r="B18" s="7"/>
      <c r="C18" s="7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</row>
    <row r="19" spans="2:56">
      <c r="B19" s="7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</row>
    <row r="20" spans="2:56">
      <c r="B20" s="7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</row>
    <row r="21" spans="2:56">
      <c r="B21" s="7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</row>
    <row r="22" spans="2:56">
      <c r="B22" s="7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</row>
    <row r="23" spans="2:56">
      <c r="B23" s="7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</row>
    <row r="24" spans="2:56">
      <c r="B24" s="7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</row>
    <row r="25" spans="2:56">
      <c r="B25" s="7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</row>
    <row r="26" spans="2:56">
      <c r="B26" s="7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</row>
    <row r="27" spans="2:56">
      <c r="B27" s="7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</row>
    <row r="28" spans="2:56">
      <c r="B28" s="7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</row>
    <row r="29" spans="2:56">
      <c r="B29" s="7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</row>
    <row r="30" spans="2:56">
      <c r="B30" s="7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</row>
    <row r="31" spans="2:56">
      <c r="B31" s="16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</row>
    <row r="32" spans="2:56"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</row>
    <row r="33" spans="1:42"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40"/>
      <c r="AO33" s="40"/>
      <c r="AP33" s="40"/>
    </row>
    <row r="34" spans="1:42">
      <c r="B34" s="16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38"/>
      <c r="AO34" s="38"/>
      <c r="AP34" s="38"/>
    </row>
    <row r="35" spans="1:42">
      <c r="B35" s="12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</row>
    <row r="36" spans="1:42">
      <c r="B36" s="12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</row>
    <row r="37" spans="1:42">
      <c r="B37" s="12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</row>
    <row r="38" spans="1:42">
      <c r="B38" s="12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</row>
    <row r="39" spans="1:42">
      <c r="B39" s="12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</row>
    <row r="40" spans="1:42">
      <c r="B40" s="12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</row>
    <row r="41" spans="1:42">
      <c r="B41" s="12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</row>
    <row r="42" spans="1:42">
      <c r="B42" s="16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38"/>
      <c r="AO42" s="38"/>
      <c r="AP42" s="38"/>
    </row>
    <row r="43" spans="1:42">
      <c r="A43" s="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39"/>
      <c r="AO43" s="39"/>
      <c r="AP43" s="39"/>
    </row>
    <row r="44" spans="1:42"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41"/>
      <c r="AO44" s="41"/>
      <c r="AP44" s="41"/>
    </row>
    <row r="45" spans="1:42" ht="15" thickBot="1">
      <c r="A45" s="15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</row>
    <row r="46" spans="1:42" ht="15" thickTop="1">
      <c r="A46" s="7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</row>
    <row r="47" spans="1:42">
      <c r="A47" s="7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</row>
    <row r="48" spans="1:42">
      <c r="A48" s="7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42"/>
      <c r="AO48" s="42"/>
      <c r="AP48" s="42"/>
    </row>
    <row r="49" spans="1:42">
      <c r="A49" s="7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</row>
    <row r="50" spans="1:42">
      <c r="A50" s="7"/>
      <c r="B50" s="13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</row>
    <row r="51" spans="1:42">
      <c r="A51" s="7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</row>
    <row r="52" spans="1:42">
      <c r="B52" s="12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</row>
    <row r="53" spans="1:42">
      <c r="B53" s="12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</row>
    <row r="54" spans="1:42">
      <c r="A54" s="3"/>
      <c r="B54" s="9"/>
      <c r="C54" s="5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</row>
    <row r="55" spans="1:42">
      <c r="B55" s="12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</row>
    <row r="56" spans="1:42">
      <c r="B56" s="12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</row>
    <row r="57" spans="1:42">
      <c r="B57" s="12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</row>
    <row r="58" spans="1:42">
      <c r="B58" s="12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</row>
    <row r="59" spans="1:42">
      <c r="B59" s="12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</row>
    <row r="60" spans="1:42">
      <c r="B60" s="12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</row>
    <row r="61" spans="1:42">
      <c r="B61" s="12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</row>
    <row r="62" spans="1:42">
      <c r="B62" s="12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</row>
    <row r="63" spans="1:42">
      <c r="B63" s="12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</row>
    <row r="64" spans="1:42">
      <c r="B64" s="12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</row>
    <row r="65" spans="1:42"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43"/>
      <c r="AO65" s="43"/>
      <c r="AP65" s="43"/>
    </row>
    <row r="66" spans="1:42">
      <c r="A66" s="7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</row>
    <row r="67" spans="1:42">
      <c r="A67" s="7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</row>
    <row r="68" spans="1:42">
      <c r="A68" s="7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</row>
    <row r="69" spans="1:42">
      <c r="A69" s="7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42"/>
      <c r="AO69" s="42"/>
      <c r="AP69" s="42"/>
    </row>
    <row r="70" spans="1:42"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</row>
    <row r="71" spans="1:42">
      <c r="B71" s="12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</row>
    <row r="72" spans="1:42">
      <c r="B72" s="12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</row>
    <row r="73" spans="1:42"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43"/>
      <c r="AO73" s="43"/>
      <c r="AP73" s="43"/>
    </row>
    <row r="74" spans="1:42">
      <c r="A74" s="7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</row>
    <row r="75" spans="1:42"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</row>
    <row r="76" spans="1:42">
      <c r="A76" s="7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</row>
    <row r="77" spans="1:42">
      <c r="A77" s="7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42"/>
      <c r="AO77" s="42"/>
      <c r="AP77" s="42"/>
    </row>
    <row r="78" spans="1:42">
      <c r="B78" s="4"/>
    </row>
    <row r="79" spans="1:42">
      <c r="B79" s="4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</row>
    <row r="80" spans="1:42">
      <c r="B80" s="4"/>
    </row>
    <row r="81" spans="2:42">
      <c r="B81" s="4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</row>
    <row r="82" spans="2:42">
      <c r="B82" s="2"/>
    </row>
  </sheetData>
  <pageMargins left="0.7" right="0.7" top="0.75" bottom="0.75" header="0.3" footer="0.3"/>
  <pageSetup paperSize="9" orientation="portrait" verticalDpi="598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Endhumathi Manoharan</dc:creator>
  <cp:keywords/>
  <dc:description/>
  <cp:lastModifiedBy>Naafiah Fathima</cp:lastModifiedBy>
  <cp:revision/>
  <dcterms:created xsi:type="dcterms:W3CDTF">2025-05-20T06:25:00Z</dcterms:created>
  <dcterms:modified xsi:type="dcterms:W3CDTF">2026-03-27T09:44:53Z</dcterms:modified>
  <cp:category/>
  <cp:contentStatus/>
</cp:coreProperties>
</file>